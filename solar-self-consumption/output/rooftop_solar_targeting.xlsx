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ulator" sheetId="1" r:id="rId1"/>
    <sheet name="Self-consumption grid" sheetId="2" r:id="rId2"/>
    <sheet name="Locations" sheetId="3" r:id="rId3"/>
    <sheet name="Payback grid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<sst xmlns="http://schemas.openxmlformats.org/spreadsheetml/2006/main" count="148" uniqueCount="121">
  <si>
    <t>Modelled self-consumption rate</t>
  </si>
  <si>
    <t>Share of generation the site uses itself, by load profile and system size. Computed hour by hour over a full year; the Calculator looks values up from here.</t>
  </si>
  <si>
    <t>Profile</t>
  </si>
  <si>
    <t>Continuous 24/7</t>
  </si>
  <si>
    <t>Three shifts, Mon-Fri</t>
  </si>
  <si>
    <t>Two shifts, Mon-Fri 06:00-22:00</t>
  </si>
  <si>
    <t>Single shift, Mon-Fri 06:00-14:00</t>
  </si>
  <si>
    <t>Office hours, Mon-Fri 08:00-18:00</t>
  </si>
  <si>
    <t>Night-heavy, daily 22:00-06:00</t>
  </si>
  <si>
    <t>Average price earned on exported energy (EUR/kWh)</t>
  </si>
  <si>
    <t>Yield by location</t>
  </si>
  <si>
    <t>PVGIS long-run average for a roof-mounted system at 35 degrees facing south, with its year-to-year standard deviation.</t>
  </si>
  <si>
    <t>location</t>
  </si>
  <si>
    <t>region</t>
  </si>
  <si>
    <t>latitude</t>
  </si>
  <si>
    <t>longitude</t>
  </si>
  <si>
    <t>yield_kwh_per_kwp</t>
  </si>
  <si>
    <t>st_dev_kwh</t>
  </si>
  <si>
    <t>variability_pct</t>
  </si>
  <si>
    <t>irradiation_kwh_m2</t>
  </si>
  <si>
    <t>Brno</t>
  </si>
  <si>
    <t>Jihomoravský</t>
  </si>
  <si>
    <t>Prague</t>
  </si>
  <si>
    <t>Praha</t>
  </si>
  <si>
    <t>Plzeň</t>
  </si>
  <si>
    <t>Plzeňský</t>
  </si>
  <si>
    <t>Ostrava</t>
  </si>
  <si>
    <t>Moravskoslezský</t>
  </si>
  <si>
    <t>Ústí nad Labem</t>
  </si>
  <si>
    <t>Ústecký</t>
  </si>
  <si>
    <t>Rooftop solar sizing calculator</t>
  </si>
  <si>
    <t>Shaded cells are inputs. Everything else is a formula — change an input and the answer moves.</t>
  </si>
  <si>
    <t>Annual consumption (MWh)</t>
  </si>
  <si>
    <t>The site's own electricity use.</t>
  </si>
  <si>
    <t>System size (generation as % of use)</t>
  </si>
  <si>
    <t>Must be one of the modelled sizes: 5, 10, 15, 20, 30, 40, 50 or 60%.</t>
  </si>
  <si>
    <t>Load profile</t>
  </si>
  <si>
    <t>Pick from the list. This is the assumption that matters most.</t>
  </si>
  <si>
    <t>Location</t>
  </si>
  <si>
    <t>Sets the yield per kWp.</t>
  </si>
  <si>
    <t>Avoided price (EUR/kWh)</t>
  </si>
  <si>
    <t>What a self-consumed kWh saves. Depends on how much of the customer's network charge is volumetric — see Assumptions.</t>
  </si>
  <si>
    <t>Capex (EUR per kWp)</t>
  </si>
  <si>
    <t>European commercial rooftop runs about 700-1 300.</t>
  </si>
  <si>
    <t>Result</t>
  </si>
  <si>
    <t>Yield (kWh per kWp per year)</t>
  </si>
  <si>
    <t>System size (kWp)</t>
  </si>
  <si>
    <t>Annual generation (MWh)</t>
  </si>
  <si>
    <t>Self-consumption rate</t>
  </si>
  <si>
    <t>Self-consumed (MWh)</t>
  </si>
  <si>
    <t>Exported (MWh)</t>
  </si>
  <si>
    <t>Price earned on exports (EUR/kWh)</t>
  </si>
  <si>
    <t>Annual saving (EUR)</t>
  </si>
  <si>
    <t>Investment (EUR)</t>
  </si>
  <si>
    <t>Simple payback (years)</t>
  </si>
  <si>
    <t>How to read it</t>
  </si>
  <si>
    <t>Simple payback, undiscounted, before any subsidy or tax treatment, and before maintenance. It is a comparison tool between customers, not a financial model of one project. The ranking it produces is robust; the absolute years move with the quote.</t>
  </si>
  <si>
    <t>Where the numbers come from</t>
  </si>
  <si>
    <t>Self-consumption</t>
  </si>
  <si>
    <t>Modelled hour by hour for a full year from PVGIS generation and a stylised load shape.</t>
  </si>
  <si>
    <t>Export price</t>
  </si>
  <si>
    <t>The day-ahead price in the hours the surplus actually occurred, with negative hours curtailed to zero.</t>
  </si>
  <si>
    <t>Avoided price</t>
  </si>
  <si>
    <t>Eurostat's retail components for Czech business consumers, excluding VAT.</t>
  </si>
  <si>
    <t>Simple payback in years</t>
  </si>
  <si>
    <t>At 1000 EUR/kWp and an avoided price of 0.1281 EUR/kWh. The pattern, not the level, is the point: every profile starts in the same place and degrades at its own rate.</t>
  </si>
  <si>
    <t>Assumptions and sources</t>
  </si>
  <si>
    <t>Generation</t>
  </si>
  <si>
    <t>PVGIS (European Commission JRC), SARAH3, hourly</t>
  </si>
  <si>
    <t>System</t>
  </si>
  <si>
    <t>roof-mounted, 35 degrees, facing south, 14% system losses</t>
  </si>
  <si>
    <t>Analysis year</t>
  </si>
  <si>
    <t>2023</t>
  </si>
  <si>
    <t>Wholesale prices</t>
  </si>
  <si>
    <t>energy-charts.info (Fraunhofer ISE), CC BY 4.0</t>
  </si>
  <si>
    <t>Retail price</t>
  </si>
  <si>
    <t>Eurostat nrg_pc_205_c, 2025, band 2 000-19 999 MWh, excluding VAT</t>
  </si>
  <si>
    <t>Retail components (EUR/kWh)</t>
  </si>
  <si>
    <t xml:space="preserve">  Energy and supply</t>
  </si>
  <si>
    <t>0.1102</t>
  </si>
  <si>
    <t xml:space="preserve">  Network</t>
  </si>
  <si>
    <t>0.0385</t>
  </si>
  <si>
    <t xml:space="preserve">  Taxes excluding VAT</t>
  </si>
  <si>
    <t>0.0179</t>
  </si>
  <si>
    <t xml:space="preserve">  Full retail excluding VAT</t>
  </si>
  <si>
    <t>0.1666</t>
  </si>
  <si>
    <t>Avoided-price scenarios</t>
  </si>
  <si>
    <t xml:space="preserve">  0.1102 EUR/kWh</t>
  </si>
  <si>
    <t>Energy and supply only (network fully capacity-based)</t>
  </si>
  <si>
    <t xml:space="preserve">  0.1281 EUR/kWh</t>
  </si>
  <si>
    <t>Energy, taxes and levies (network fully capacity-based)</t>
  </si>
  <si>
    <t xml:space="preserve">  0.1666 EUR/kWh</t>
  </si>
  <si>
    <t>The whole variable retail price, network included</t>
  </si>
  <si>
    <t>Load profiles</t>
  </si>
  <si>
    <t>Stylised, with a base load that does not fall to zero overnight. Full definitions below.</t>
  </si>
  <si>
    <t>key</t>
  </si>
  <si>
    <t>profile</t>
  </si>
  <si>
    <t>operating_hours</t>
  </si>
  <si>
    <t>operating_days</t>
  </si>
  <si>
    <t>base_load_share</t>
  </si>
  <si>
    <t>weekend_load_share</t>
  </si>
  <si>
    <t>typical_customer</t>
  </si>
  <si>
    <t>continuous</t>
  </si>
  <si>
    <t>00:00-00:00</t>
  </si>
  <si>
    <t>all</t>
  </si>
  <si>
    <t>Foundry, paper mill, cold store, data centre</t>
  </si>
  <si>
    <t>three_shift</t>
  </si>
  <si>
    <t>weekdays</t>
  </si>
  <si>
    <t>Automotive component plant, injection moulding</t>
  </si>
  <si>
    <t>two_shift</t>
  </si>
  <si>
    <t>06:00-22:00</t>
  </si>
  <si>
    <t>Machining, food processing, packaging</t>
  </si>
  <si>
    <t>single_shift</t>
  </si>
  <si>
    <t>06:00-14:00</t>
  </si>
  <si>
    <t>Workshop, small manufacturer, print shop</t>
  </si>
  <si>
    <t>office</t>
  </si>
  <si>
    <t>08:00-18:00</t>
  </si>
  <si>
    <t>Office building, retail park, school, administration</t>
  </si>
  <si>
    <t>night_heavy</t>
  </si>
  <si>
    <t>22:00-00:00, 00:00-06:00</t>
  </si>
  <si>
    <t>Cold storage pre-cooling, bakery, night-tariff heating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</si>
</sst>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0%"/>
    <numFmt numFmtId="166" formatCode="#,##0.00"/>
    <numFmt numFmtId="167" formatCode="0.0%"/>
    <numFmt numFmtId="168" formatCode="0.0000"/>
    <numFmt numFmtId="169" formatCode="0.0"/>
  </numFmts>
  <fonts count="10">
    <font>
      <sz val="11"/>
      <color theme="1"/>
      <name val="Calibri"/>
      <family val="2"/>
      <scheme val="minor"/>
    </font>
    <font>
      <b/>
      <sz val="18"/>
      <color rgb="FF12243A"/>
      <name val="Calibri"/>
      <family val="2"/>
      <scheme val="minor"/>
    </font>
    <font>
      <sz val="11.5"/>
      <color rgb="FF43525F"/>
      <name val="Calibri"/>
      <family val="2"/>
      <scheme val="minor"/>
    </font>
    <font>
      <sz val="11"/>
      <color rgb="FF43525F"/>
      <name val="Calibri"/>
      <family val="2"/>
      <scheme val="minor"/>
    </font>
    <font>
      <sz val="10.5"/>
      <color rgb="FF43525F"/>
      <name val="Calibri"/>
      <family val="2"/>
      <scheme val="minor"/>
    </font>
    <font>
      <b/>
      <sz val="12"/>
      <color rgb="FF12243A"/>
      <name val="Calibri"/>
      <family val="2"/>
      <scheme val="minor"/>
    </font>
    <font>
      <b/>
      <sz val="12"/>
      <color rgb="FF2A78D6"/>
      <name val="Calibri"/>
      <family val="2"/>
      <scheme val="minor"/>
    </font>
    <font>
      <b/>
      <sz val="11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A1A1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7E6"/>
        <bgColor indexed="64"/>
      </patternFill>
    </fill>
    <fill>
      <patternFill patternType="solid">
        <fgColor rgb="FF12243A"/>
        <bgColor indexed="64"/>
      </patternFill>
    </fill>
  </fills>
  <borders count="2">
    <border>
      <left/>
      <right/>
      <top/>
      <bottom/>
      <diagonal/>
    </border>
    <border>
      <left style="thin">
        <color rgb="FFE8D9B5"/>
      </left>
      <right style="thin">
        <color rgb="FFE8D9B5"/>
      </right>
      <top style="thin">
        <color rgb="FFE8D9B5"/>
      </top>
      <bottom style="thin">
        <color rgb="FFE8D9B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64" fontId="0" fillId="2" borderId="1" xfId="0" applyNumberFormat="1" applyFill="1" applyBorder="1"/>
    <xf numFmtId="0" fontId="4" fillId="0" borderId="0" xfId="0" applyFont="1" applyAlignment="1">
      <alignment vertical="top" wrapText="1"/>
    </xf>
    <xf numFmtId="165" fontId="0" fillId="2" borderId="1" xfId="0" applyNumberFormat="1" applyFill="1" applyBorder="1"/>
    <xf numFmtId="0" fontId="0" fillId="2" borderId="1" xfId="0" applyFill="1" applyBorder="1"/>
    <xf numFmtId="166" fontId="0" fillId="2" borderId="1" xfId="0" applyNumberFormat="1" applyFill="1" applyBorder="1"/>
    <xf numFmtId="0" fontId="5" fillId="0" borderId="0" xfId="0" applyFont="1"/>
    <xf numFmtId="164" fontId="6" fillId="0" borderId="0" xfId="0" applyNumberFormat="1" applyFont="1"/>
    <xf numFmtId="167" fontId="6" fillId="0" borderId="0" xfId="0" applyNumberFormat="1" applyFont="1"/>
    <xf numFmtId="168" fontId="0" fillId="0" borderId="0" xfId="0" applyNumberFormat="1"/>
    <xf numFmtId="169" fontId="6" fillId="0" borderId="0" xfId="0" applyNumberFormat="1" applyFont="1"/>
    <xf numFmtId="0" fontId="7" fillId="0" borderId="0" xfId="0" applyFont="1"/>
    <xf numFmtId="0" fontId="8" fillId="3" borderId="0" xfId="0" applyFont="1" applyFill="1" applyAlignment="1">
      <alignment horizontal="left" vertical="center" wrapText="1"/>
    </xf>
    <xf numFmtId="165" fontId="8" fillId="3" borderId="0" xfId="0" applyNumberFormat="1" applyFont="1" applyFill="1"/>
    <xf numFmtId="0" fontId="9" fillId="0" borderId="0" xfId="0" applyFont="1"/>
    <xf numFmtId="167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31"/>
  <sheetViews>
    <sheetView showGridLines="0" tabSelected="1" workbookViewId="0"/>
  </sheetViews>
  <sheetFormatPr defaultRowHeight="15"/>
  <cols>
    <col min="1" max="1" width="2.7109375" customWidth="1"/>
    <col min="2" max="2" width="34.7109375" customWidth="1"/>
    <col min="3" max="3" width="18.7109375" customWidth="1"/>
    <col min="4" max="4" width="46.7109375" customWidth="1"/>
  </cols>
  <sheetData>
    <row r="2" spans="2:4">
      <c r="B2" s="1" t="s">
        <v>30</v>
      </c>
    </row>
    <row r="3" spans="2:4">
      <c r="B3" s="2" t="s">
        <v>31</v>
      </c>
    </row>
    <row r="6" spans="2:4">
      <c r="B6" s="3" t="s">
        <v>32</v>
      </c>
      <c r="C6" s="4">
        <v>2000</v>
      </c>
      <c r="D6" s="5" t="s">
        <v>33</v>
      </c>
    </row>
    <row r="7" spans="2:4">
      <c r="B7" s="3" t="s">
        <v>34</v>
      </c>
      <c r="C7" s="6">
        <v>0.3</v>
      </c>
      <c r="D7" s="5" t="s">
        <v>35</v>
      </c>
    </row>
    <row r="8" spans="2:4">
      <c r="B8" s="3" t="s">
        <v>36</v>
      </c>
      <c r="C8" s="7" t="s">
        <v>7</v>
      </c>
      <c r="D8" s="5" t="s">
        <v>37</v>
      </c>
    </row>
    <row r="9" spans="2:4">
      <c r="B9" s="3" t="s">
        <v>38</v>
      </c>
      <c r="C9" s="7" t="s">
        <v>24</v>
      </c>
      <c r="D9" s="5" t="s">
        <v>39</v>
      </c>
    </row>
    <row r="10" spans="2:4">
      <c r="B10" s="3" t="s">
        <v>40</v>
      </c>
      <c r="C10" s="8">
        <v>0.1281</v>
      </c>
      <c r="D10" s="5" t="s">
        <v>41</v>
      </c>
    </row>
    <row r="11" spans="2:4">
      <c r="B11" s="3" t="s">
        <v>42</v>
      </c>
      <c r="C11" s="4">
        <v>1000</v>
      </c>
      <c r="D11" s="5" t="s">
        <v>43</v>
      </c>
    </row>
    <row r="13" spans="2:4">
      <c r="B13" s="9" t="s">
        <v>44</v>
      </c>
    </row>
    <row r="14" spans="2:4">
      <c r="B14" s="3" t="s">
        <v>45</v>
      </c>
      <c r="C14" s="10">
        <f>INDEX(Locations!$E$5:$E$9,MATCH($C$9,Locations!$A$5:$A$9,0))</f>
        <v>0</v>
      </c>
    </row>
    <row r="15" spans="2:4">
      <c r="B15" s="3" t="s">
        <v>46</v>
      </c>
      <c r="C15" s="10">
        <f>$C$6*1000*$C$7/$C$14</f>
        <v>0</v>
      </c>
    </row>
    <row r="16" spans="2:4">
      <c r="B16" s="3" t="s">
        <v>47</v>
      </c>
      <c r="C16" s="10">
        <f>$C$6*$C$7</f>
        <v>0</v>
      </c>
    </row>
    <row r="17" spans="2:3">
      <c r="B17" s="3" t="s">
        <v>48</v>
      </c>
      <c r="C17" s="11">
        <f>INDEX('Self-consumption grid'!$B$5:$I$10,MATCH($C$8,'Self-consumption grid'!$A$5:$A$10,0),MATCH($C$7,'Self-consumption grid'!$B$4:$I$4,0))</f>
        <v>0</v>
      </c>
    </row>
    <row r="18" spans="2:3">
      <c r="B18" s="3" t="s">
        <v>49</v>
      </c>
      <c r="C18" s="10">
        <f>$C$16*$C$17</f>
        <v>0</v>
      </c>
    </row>
    <row r="19" spans="2:3">
      <c r="B19" s="3" t="s">
        <v>50</v>
      </c>
      <c r="C19" s="10">
        <f>$C$16-$C$18</f>
        <v>0</v>
      </c>
    </row>
    <row r="20" spans="2:3">
      <c r="B20" s="3" t="s">
        <v>51</v>
      </c>
      <c r="C20" s="12">
        <f>INDEX('Self-consumption grid'!$B$14:$I$19,MATCH($C$8,'Self-consumption grid'!$A$14:$A$19,0),MATCH($C$7,'Self-consumption grid'!$B$4:$I$4,0))</f>
        <v>0</v>
      </c>
    </row>
    <row r="21" spans="2:3">
      <c r="B21" s="3" t="s">
        <v>52</v>
      </c>
      <c r="C21" s="10">
        <f>$C$18*1000*$C$10+$C$19*1000*$C$20</f>
        <v>0</v>
      </c>
    </row>
    <row r="22" spans="2:3">
      <c r="B22" s="3" t="s">
        <v>53</v>
      </c>
      <c r="C22" s="10">
        <f>$C$15*$C$11</f>
        <v>0</v>
      </c>
    </row>
    <row r="23" spans="2:3">
      <c r="B23" s="3" t="s">
        <v>54</v>
      </c>
      <c r="C23" s="13">
        <f>$C$22/$C$21</f>
        <v>0</v>
      </c>
    </row>
    <row r="25" spans="2:3">
      <c r="B25" s="9" t="s">
        <v>55</v>
      </c>
    </row>
    <row r="26" spans="2:3" ht="44" customHeight="1">
      <c r="B26" s="5" t="s">
        <v>56</v>
      </c>
    </row>
    <row r="28" spans="2:3">
      <c r="B28" s="9" t="s">
        <v>57</v>
      </c>
    </row>
    <row r="29" spans="2:3">
      <c r="B29" s="14" t="s">
        <v>58</v>
      </c>
      <c r="C29" s="5" t="s">
        <v>59</v>
      </c>
    </row>
    <row r="30" spans="2:3">
      <c r="B30" s="14" t="s">
        <v>60</v>
      </c>
      <c r="C30" s="5" t="s">
        <v>61</v>
      </c>
    </row>
    <row r="31" spans="2:3">
      <c r="B31" s="14" t="s">
        <v>62</v>
      </c>
      <c r="C31" s="5" t="s">
        <v>63</v>
      </c>
    </row>
  </sheetData>
  <dataValidations count="3">
    <dataValidation type="list" allowBlank="1" showInputMessage="1" showErrorMessage="1" sqref="C8">
      <formula1>"Continuous 24/7,Three shifts, Mon-Fri,Two shifts, Mon-Fri 06:00-22:00,Single shift, Mon-Fri 06:00-14:00,Office hours, Mon-Fri 08:00-18:00,Night-heavy, daily 22:00-06:00"</formula1>
    </dataValidation>
    <dataValidation type="list" allowBlank="1" showInputMessage="1" showErrorMessage="1" sqref="C9">
      <formula1>"Brno,Prague,Plzeň,Ostrava,Ústí nad Labem"</formula1>
    </dataValidation>
    <dataValidation type="list" allowBlank="1" showInputMessage="1" showErrorMessage="1" sqref="C7">
      <formula1>"0.05,0.1,0.15,0.2,0.3,0.4,0.5,0.6"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34.7109375" customWidth="1"/>
    <col min="2" max="9" width="11.7109375" customWidth="1"/>
  </cols>
  <sheetData>
    <row r="1" spans="1:9">
      <c r="A1" s="1" t="s">
        <v>0</v>
      </c>
    </row>
    <row r="2" spans="1:9">
      <c r="A2" s="2" t="s">
        <v>1</v>
      </c>
    </row>
    <row r="4" spans="1:9">
      <c r="A4" s="15" t="s">
        <v>2</v>
      </c>
      <c r="B4" s="16">
        <v>0.05</v>
      </c>
      <c r="C4" s="16">
        <v>0.1</v>
      </c>
      <c r="D4" s="16">
        <v>0.15</v>
      </c>
      <c r="E4" s="16">
        <v>0.2</v>
      </c>
      <c r="F4" s="16">
        <v>0.3</v>
      </c>
      <c r="G4" s="16">
        <v>0.4</v>
      </c>
      <c r="H4" s="16">
        <v>0.5</v>
      </c>
      <c r="I4" s="16">
        <v>0.6</v>
      </c>
    </row>
    <row r="5" spans="1:9">
      <c r="A5" s="17" t="s">
        <v>3</v>
      </c>
      <c r="B5" s="18">
        <v>1</v>
      </c>
      <c r="C5" s="18">
        <v>1</v>
      </c>
      <c r="D5" s="18">
        <v>0.999956</v>
      </c>
      <c r="E5" s="18">
        <v>0.96368</v>
      </c>
      <c r="F5" s="18">
        <v>0.807688</v>
      </c>
      <c r="G5" s="18">
        <v>0.681159</v>
      </c>
      <c r="H5" s="18">
        <v>0.588896</v>
      </c>
      <c r="I5" s="18">
        <v>0.518943</v>
      </c>
    </row>
    <row r="6" spans="1:9">
      <c r="A6" s="17" t="s">
        <v>4</v>
      </c>
      <c r="B6" s="18">
        <v>1</v>
      </c>
      <c r="C6" s="18">
        <v>0.976255</v>
      </c>
      <c r="D6" s="18">
        <v>0.929598</v>
      </c>
      <c r="E6" s="18">
        <v>0.893975</v>
      </c>
      <c r="F6" s="18">
        <v>0.776189</v>
      </c>
      <c r="G6" s="18">
        <v>0.661673</v>
      </c>
      <c r="H6" s="18">
        <v>0.573693</v>
      </c>
      <c r="I6" s="18">
        <v>0.506587</v>
      </c>
    </row>
    <row r="7" spans="1:9">
      <c r="A7" s="17" t="s">
        <v>5</v>
      </c>
      <c r="B7" s="18">
        <v>0.999996</v>
      </c>
      <c r="C7" s="18">
        <v>0.949295</v>
      </c>
      <c r="D7" s="18">
        <v>0.900678</v>
      </c>
      <c r="E7" s="18">
        <v>0.869429</v>
      </c>
      <c r="F7" s="18">
        <v>0.8238760000000001</v>
      </c>
      <c r="G7" s="18">
        <v>0.740639</v>
      </c>
      <c r="H7" s="18">
        <v>0.658629</v>
      </c>
      <c r="I7" s="18">
        <v>0.58954</v>
      </c>
    </row>
    <row r="8" spans="1:9">
      <c r="A8" s="17" t="s">
        <v>6</v>
      </c>
      <c r="B8" s="18">
        <v>1</v>
      </c>
      <c r="C8" s="18">
        <v>0.964406</v>
      </c>
      <c r="D8" s="18">
        <v>0.881474</v>
      </c>
      <c r="E8" s="18">
        <v>0.814368</v>
      </c>
      <c r="F8" s="18">
        <v>0.727992</v>
      </c>
      <c r="G8" s="18">
        <v>0.674542</v>
      </c>
      <c r="H8" s="18">
        <v>0.627553</v>
      </c>
      <c r="I8" s="18">
        <v>0.574078</v>
      </c>
    </row>
    <row r="9" spans="1:9">
      <c r="A9" s="17" t="s">
        <v>7</v>
      </c>
      <c r="B9" s="18">
        <v>1</v>
      </c>
      <c r="C9" s="18">
        <v>0.960523</v>
      </c>
      <c r="D9" s="18">
        <v>0.912165</v>
      </c>
      <c r="E9" s="18">
        <v>0.879791</v>
      </c>
      <c r="F9" s="18">
        <v>0.837284</v>
      </c>
      <c r="G9" s="18">
        <v>0.810024</v>
      </c>
      <c r="H9" s="18">
        <v>0.766259</v>
      </c>
      <c r="I9" s="18">
        <v>0.706574</v>
      </c>
    </row>
    <row r="10" spans="1:9">
      <c r="A10" s="17" t="s">
        <v>8</v>
      </c>
      <c r="B10" s="18">
        <v>1</v>
      </c>
      <c r="C10" s="18">
        <v>1</v>
      </c>
      <c r="D10" s="18">
        <v>0.94736</v>
      </c>
      <c r="E10" s="18">
        <v>0.834894</v>
      </c>
      <c r="F10" s="18">
        <v>0.658063</v>
      </c>
      <c r="G10" s="18">
        <v>0.542961</v>
      </c>
      <c r="H10" s="18">
        <v>0.462366</v>
      </c>
      <c r="I10" s="18">
        <v>0.403445</v>
      </c>
    </row>
    <row r="12" spans="1:9">
      <c r="A12" s="9" t="s">
        <v>9</v>
      </c>
    </row>
    <row r="13" spans="1:9">
      <c r="A13" s="15" t="s">
        <v>2</v>
      </c>
      <c r="B13" s="16">
        <v>0.05</v>
      </c>
      <c r="C13" s="16">
        <v>0.1</v>
      </c>
      <c r="D13" s="16">
        <v>0.15</v>
      </c>
      <c r="E13" s="16">
        <v>0.2</v>
      </c>
      <c r="F13" s="16">
        <v>0.3</v>
      </c>
      <c r="G13" s="16">
        <v>0.4</v>
      </c>
      <c r="H13" s="16">
        <v>0.5</v>
      </c>
      <c r="I13" s="16">
        <v>0.6</v>
      </c>
    </row>
    <row r="14" spans="1:9">
      <c r="A14" s="17" t="s">
        <v>3</v>
      </c>
      <c r="B14" s="12">
        <v>0</v>
      </c>
      <c r="C14" s="12">
        <v>0</v>
      </c>
      <c r="D14" s="12">
        <v>0.046738</v>
      </c>
      <c r="E14" s="12">
        <v>0.061206</v>
      </c>
      <c r="F14" s="12">
        <v>0.067789</v>
      </c>
      <c r="G14" s="12">
        <v>0.070774</v>
      </c>
      <c r="H14" s="12">
        <v>0.072531</v>
      </c>
      <c r="I14" s="12">
        <v>0.073741</v>
      </c>
    </row>
    <row r="15" spans="1:9">
      <c r="A15" s="17" t="s">
        <v>4</v>
      </c>
      <c r="B15" s="12">
        <v>0</v>
      </c>
      <c r="C15" s="12">
        <v>0.019843</v>
      </c>
      <c r="D15" s="12">
        <v>0.027671</v>
      </c>
      <c r="E15" s="12">
        <v>0.032372</v>
      </c>
      <c r="F15" s="12">
        <v>0.051491</v>
      </c>
      <c r="G15" s="12">
        <v>0.06076</v>
      </c>
      <c r="H15" s="12">
        <v>0.065375</v>
      </c>
      <c r="I15" s="12">
        <v>0.068132</v>
      </c>
    </row>
    <row r="16" spans="1:9">
      <c r="A16" s="17" t="s">
        <v>5</v>
      </c>
      <c r="B16" s="12">
        <v>0</v>
      </c>
      <c r="C16" s="12">
        <v>0.02469</v>
      </c>
      <c r="D16" s="12">
        <v>0.031256</v>
      </c>
      <c r="E16" s="12">
        <v>0.03427</v>
      </c>
      <c r="F16" s="12">
        <v>0.039258</v>
      </c>
      <c r="G16" s="12">
        <v>0.050433</v>
      </c>
      <c r="H16" s="12">
        <v>0.057682</v>
      </c>
      <c r="I16" s="12">
        <v>0.062112</v>
      </c>
    </row>
    <row r="17" spans="1:9">
      <c r="A17" s="17" t="s">
        <v>6</v>
      </c>
      <c r="B17" s="12">
        <v>0</v>
      </c>
      <c r="C17" s="12">
        <v>0.026456</v>
      </c>
      <c r="D17" s="12">
        <v>0.045654</v>
      </c>
      <c r="E17" s="12">
        <v>0.05246</v>
      </c>
      <c r="F17" s="12">
        <v>0.058018</v>
      </c>
      <c r="G17" s="12">
        <v>0.060738</v>
      </c>
      <c r="H17" s="12">
        <v>0.062885</v>
      </c>
      <c r="I17" s="12">
        <v>0.065191</v>
      </c>
    </row>
    <row r="18" spans="1:9">
      <c r="A18" s="17" t="s">
        <v>7</v>
      </c>
      <c r="B18" s="12">
        <v>0</v>
      </c>
      <c r="C18" s="12">
        <v>0.022916</v>
      </c>
      <c r="D18" s="12">
        <v>0.029974</v>
      </c>
      <c r="E18" s="12">
        <v>0.033298</v>
      </c>
      <c r="F18" s="12">
        <v>0.038059</v>
      </c>
      <c r="G18" s="12">
        <v>0.041077</v>
      </c>
      <c r="H18" s="12">
        <v>0.046852</v>
      </c>
      <c r="I18" s="12">
        <v>0.053431</v>
      </c>
    </row>
    <row r="19" spans="1:9">
      <c r="A19" s="17" t="s">
        <v>8</v>
      </c>
      <c r="B19" s="12">
        <v>0</v>
      </c>
      <c r="C19" s="12">
        <v>0</v>
      </c>
      <c r="D19" s="12">
        <v>0.062652</v>
      </c>
      <c r="E19" s="12">
        <v>0.067023</v>
      </c>
      <c r="F19" s="12">
        <v>0.07124999999999999</v>
      </c>
      <c r="G19" s="12">
        <v>0.07333199999999999</v>
      </c>
      <c r="H19" s="12">
        <v>0.074645</v>
      </c>
      <c r="I19" s="12">
        <v>0.075545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18.7109375" customWidth="1"/>
    <col min="2" max="8" width="17.7109375" customWidth="1"/>
  </cols>
  <sheetData>
    <row r="1" spans="1:8">
      <c r="A1" s="1" t="s">
        <v>10</v>
      </c>
    </row>
    <row r="2" spans="1:8">
      <c r="A2" s="2" t="s">
        <v>11</v>
      </c>
    </row>
    <row r="4" spans="1:8">
      <c r="A4" s="15" t="s">
        <v>12</v>
      </c>
      <c r="B4" s="15" t="s">
        <v>13</v>
      </c>
      <c r="C4" s="15" t="s">
        <v>14</v>
      </c>
      <c r="D4" s="15" t="s">
        <v>15</v>
      </c>
      <c r="E4" s="15" t="s">
        <v>16</v>
      </c>
      <c r="F4" s="15" t="s">
        <v>17</v>
      </c>
      <c r="G4" s="15" t="s">
        <v>18</v>
      </c>
      <c r="H4" s="15" t="s">
        <v>19</v>
      </c>
    </row>
    <row r="5" spans="1:8">
      <c r="A5" t="s">
        <v>20</v>
      </c>
      <c r="B5" t="s">
        <v>21</v>
      </c>
      <c r="C5">
        <v>49.195</v>
      </c>
      <c r="D5">
        <v>16.606</v>
      </c>
      <c r="E5">
        <v>1086.9</v>
      </c>
      <c r="F5">
        <v>49.2</v>
      </c>
      <c r="G5">
        <v>4.5</v>
      </c>
      <c r="H5">
        <v>1415.4</v>
      </c>
    </row>
    <row r="6" spans="1:8">
      <c r="A6" t="s">
        <v>22</v>
      </c>
      <c r="B6" t="s">
        <v>23</v>
      </c>
      <c r="C6">
        <v>50.075</v>
      </c>
      <c r="D6">
        <v>14.437</v>
      </c>
      <c r="E6">
        <v>1054.6</v>
      </c>
      <c r="F6">
        <v>50.9</v>
      </c>
      <c r="G6">
        <v>4.8</v>
      </c>
      <c r="H6">
        <v>1369.4</v>
      </c>
    </row>
    <row r="7" spans="1:8">
      <c r="A7" t="s">
        <v>24</v>
      </c>
      <c r="B7" t="s">
        <v>25</v>
      </c>
      <c r="C7">
        <v>49.747</v>
      </c>
      <c r="D7">
        <v>13.377</v>
      </c>
      <c r="E7">
        <v>1030.8</v>
      </c>
      <c r="F7">
        <v>54.4</v>
      </c>
      <c r="G7">
        <v>5.3</v>
      </c>
      <c r="H7">
        <v>1342.4</v>
      </c>
    </row>
    <row r="8" spans="1:8">
      <c r="A8" t="s">
        <v>26</v>
      </c>
      <c r="B8" t="s">
        <v>27</v>
      </c>
      <c r="C8">
        <v>49.82</v>
      </c>
      <c r="D8">
        <v>18.262</v>
      </c>
      <c r="E8">
        <v>1026</v>
      </c>
      <c r="F8">
        <v>48.8</v>
      </c>
      <c r="G8">
        <v>4.8</v>
      </c>
      <c r="H8">
        <v>1329.5</v>
      </c>
    </row>
    <row r="9" spans="1:8">
      <c r="A9" t="s">
        <v>28</v>
      </c>
      <c r="B9" t="s">
        <v>29</v>
      </c>
      <c r="C9">
        <v>50.661</v>
      </c>
      <c r="D9">
        <v>14.032</v>
      </c>
      <c r="E9">
        <v>997.1</v>
      </c>
      <c r="F9">
        <v>53.9</v>
      </c>
      <c r="G9">
        <v>5.4</v>
      </c>
      <c r="H9">
        <v>1295.7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cols>
    <col min="1" max="1" width="34.7109375" customWidth="1"/>
    <col min="2" max="9" width="11.7109375" customWidth="1"/>
  </cols>
  <sheetData>
    <row r="1" spans="1:9">
      <c r="A1" s="1" t="s">
        <v>64</v>
      </c>
    </row>
    <row r="2" spans="1:9">
      <c r="A2" s="2" t="s">
        <v>65</v>
      </c>
    </row>
    <row r="4" spans="1:9">
      <c r="A4" s="15" t="s">
        <v>2</v>
      </c>
      <c r="B4" s="16">
        <v>0.05</v>
      </c>
      <c r="C4" s="16">
        <v>0.1</v>
      </c>
      <c r="D4" s="16">
        <v>0.15</v>
      </c>
      <c r="E4" s="16">
        <v>0.2</v>
      </c>
      <c r="F4" s="16">
        <v>0.3</v>
      </c>
      <c r="G4" s="16">
        <v>0.4</v>
      </c>
      <c r="H4" s="16">
        <v>0.5</v>
      </c>
      <c r="I4" s="16">
        <v>0.6</v>
      </c>
    </row>
    <row r="5" spans="1:9">
      <c r="A5" s="17" t="s">
        <v>3</v>
      </c>
      <c r="B5" s="19">
        <v>7.57</v>
      </c>
      <c r="C5" s="19">
        <v>7.57</v>
      </c>
      <c r="D5" s="19">
        <v>7.57</v>
      </c>
      <c r="E5" s="19">
        <v>7.72</v>
      </c>
      <c r="F5" s="19">
        <v>8.33</v>
      </c>
      <c r="G5" s="19">
        <v>8.83</v>
      </c>
      <c r="H5" s="19">
        <v>9.220000000000001</v>
      </c>
      <c r="I5" s="19">
        <v>9.52</v>
      </c>
    </row>
    <row r="6" spans="1:9">
      <c r="A6" s="17" t="s">
        <v>4</v>
      </c>
      <c r="B6" s="19">
        <v>7.57</v>
      </c>
      <c r="C6" s="19">
        <v>7.73</v>
      </c>
      <c r="D6" s="19">
        <v>8.02</v>
      </c>
      <c r="E6" s="19">
        <v>8.220000000000001</v>
      </c>
      <c r="F6" s="19">
        <v>8.74</v>
      </c>
      <c r="G6" s="19">
        <v>9.210000000000001</v>
      </c>
      <c r="H6" s="19">
        <v>9.57</v>
      </c>
      <c r="I6" s="19">
        <v>9.85</v>
      </c>
    </row>
    <row r="7" spans="1:9">
      <c r="A7" s="17" t="s">
        <v>5</v>
      </c>
      <c r="B7" s="19">
        <v>7.57</v>
      </c>
      <c r="C7" s="19">
        <v>7.9</v>
      </c>
      <c r="D7" s="19">
        <v>8.19</v>
      </c>
      <c r="E7" s="19">
        <v>8.369999999999999</v>
      </c>
      <c r="F7" s="19">
        <v>8.630000000000001</v>
      </c>
      <c r="G7" s="19">
        <v>8.99</v>
      </c>
      <c r="H7" s="19">
        <v>9.32</v>
      </c>
      <c r="I7" s="19">
        <v>9.6</v>
      </c>
    </row>
    <row r="8" spans="1:9">
      <c r="A8" s="17" t="s">
        <v>6</v>
      </c>
      <c r="B8" s="19">
        <v>7.57</v>
      </c>
      <c r="C8" s="19">
        <v>7.79</v>
      </c>
      <c r="D8" s="19">
        <v>8.199999999999999</v>
      </c>
      <c r="E8" s="19">
        <v>8.51</v>
      </c>
      <c r="F8" s="19">
        <v>8.9</v>
      </c>
      <c r="G8" s="19">
        <v>9.140000000000001</v>
      </c>
      <c r="H8" s="19">
        <v>9.35</v>
      </c>
      <c r="I8" s="19">
        <v>9.58</v>
      </c>
    </row>
    <row r="9" spans="1:9">
      <c r="A9" s="17" t="s">
        <v>7</v>
      </c>
      <c r="B9" s="19">
        <v>7.57</v>
      </c>
      <c r="C9" s="19">
        <v>7.83</v>
      </c>
      <c r="D9" s="19">
        <v>8.119999999999999</v>
      </c>
      <c r="E9" s="19">
        <v>8.31</v>
      </c>
      <c r="F9" s="19">
        <v>8.550000000000001</v>
      </c>
      <c r="G9" s="19">
        <v>8.699999999999999</v>
      </c>
      <c r="H9" s="19">
        <v>8.890000000000001</v>
      </c>
      <c r="I9" s="19">
        <v>9.140000000000001</v>
      </c>
    </row>
    <row r="10" spans="1:9">
      <c r="A10" s="17" t="s">
        <v>8</v>
      </c>
      <c r="B10" s="19">
        <v>7.57</v>
      </c>
      <c r="C10" s="19">
        <v>7.57</v>
      </c>
      <c r="D10" s="19">
        <v>7.78</v>
      </c>
      <c r="E10" s="19">
        <v>8.220000000000001</v>
      </c>
      <c r="F10" s="19">
        <v>8.93</v>
      </c>
      <c r="G10" s="19">
        <v>9.41</v>
      </c>
      <c r="H10" s="19">
        <v>9.76</v>
      </c>
      <c r="I10" s="19">
        <v>10.03</v>
      </c>
    </row>
  </sheetData>
  <conditionalFormatting sqref="B5:I10">
    <cfRule type="colorScale" priority="1">
      <colorScale>
        <cfvo type="min" val="0"/>
        <cfvo type="percentile" val="50"/>
        <cfvo type="max" val="0"/>
        <color rgb="FF1BAF7A"/>
        <color rgb="FFFFFFFF"/>
        <color rgb="FFEB6834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32.7109375" customWidth="1"/>
    <col min="2" max="2" width="86.7109375" customWidth="1"/>
  </cols>
  <sheetData>
    <row r="1" spans="1:2">
      <c r="A1" s="1" t="s">
        <v>66</v>
      </c>
    </row>
    <row r="3" spans="1:2">
      <c r="A3" s="17" t="s">
        <v>67</v>
      </c>
      <c r="B3" s="5" t="s">
        <v>68</v>
      </c>
    </row>
    <row r="4" spans="1:2">
      <c r="A4" s="17" t="s">
        <v>69</v>
      </c>
      <c r="B4" s="5" t="s">
        <v>70</v>
      </c>
    </row>
    <row r="5" spans="1:2">
      <c r="A5" s="17" t="s">
        <v>71</v>
      </c>
      <c r="B5" s="5" t="s">
        <v>72</v>
      </c>
    </row>
    <row r="6" spans="1:2">
      <c r="A6" s="17" t="s">
        <v>73</v>
      </c>
      <c r="B6" s="5" t="s">
        <v>74</v>
      </c>
    </row>
    <row r="7" spans="1:2">
      <c r="A7" s="17" t="s">
        <v>75</v>
      </c>
      <c r="B7" s="5" t="s">
        <v>76</v>
      </c>
    </row>
    <row r="8" spans="1:2">
      <c r="A8" s="14"/>
      <c r="B8" s="5"/>
    </row>
    <row r="9" spans="1:2">
      <c r="A9" s="14" t="s">
        <v>77</v>
      </c>
      <c r="B9" s="5"/>
    </row>
    <row r="10" spans="1:2">
      <c r="A10" s="17" t="s">
        <v>78</v>
      </c>
      <c r="B10" s="5" t="s">
        <v>79</v>
      </c>
    </row>
    <row r="11" spans="1:2">
      <c r="A11" s="17" t="s">
        <v>80</v>
      </c>
      <c r="B11" s="5" t="s">
        <v>81</v>
      </c>
    </row>
    <row r="12" spans="1:2">
      <c r="A12" s="17" t="s">
        <v>82</v>
      </c>
      <c r="B12" s="5" t="s">
        <v>83</v>
      </c>
    </row>
    <row r="13" spans="1:2">
      <c r="A13" s="17" t="s">
        <v>84</v>
      </c>
      <c r="B13" s="5" t="s">
        <v>85</v>
      </c>
    </row>
    <row r="14" spans="1:2">
      <c r="A14" s="14"/>
      <c r="B14" s="5"/>
    </row>
    <row r="15" spans="1:2">
      <c r="A15" s="14" t="s">
        <v>86</v>
      </c>
      <c r="B15" s="5"/>
    </row>
    <row r="16" spans="1:2">
      <c r="A16" s="17" t="s">
        <v>87</v>
      </c>
      <c r="B16" s="5" t="s">
        <v>88</v>
      </c>
    </row>
    <row r="17" spans="1:7">
      <c r="A17" s="17" t="s">
        <v>89</v>
      </c>
      <c r="B17" s="5" t="s">
        <v>90</v>
      </c>
    </row>
    <row r="18" spans="1:7">
      <c r="A18" s="17" t="s">
        <v>91</v>
      </c>
      <c r="B18" s="5" t="s">
        <v>92</v>
      </c>
    </row>
    <row r="19" spans="1:7">
      <c r="A19" s="14"/>
      <c r="B19" s="5"/>
    </row>
    <row r="20" spans="1:7">
      <c r="A20" s="17" t="s">
        <v>93</v>
      </c>
      <c r="B20" s="5" t="s">
        <v>94</v>
      </c>
    </row>
    <row r="23" spans="1:7">
      <c r="A23" s="15" t="s">
        <v>95</v>
      </c>
      <c r="B23" s="15" t="s">
        <v>96</v>
      </c>
      <c r="C23" s="15" t="s">
        <v>97</v>
      </c>
      <c r="D23" s="15" t="s">
        <v>98</v>
      </c>
      <c r="E23" s="15" t="s">
        <v>99</v>
      </c>
      <c r="F23" s="15" t="s">
        <v>100</v>
      </c>
      <c r="G23" s="15" t="s">
        <v>101</v>
      </c>
    </row>
    <row r="24" spans="1:7">
      <c r="A24" s="17" t="s">
        <v>102</v>
      </c>
      <c r="B24" s="17" t="s">
        <v>3</v>
      </c>
      <c r="C24" s="17" t="s">
        <v>103</v>
      </c>
      <c r="D24" s="17" t="s">
        <v>104</v>
      </c>
      <c r="E24" s="17">
        <v>1</v>
      </c>
      <c r="F24" s="17">
        <v>1</v>
      </c>
      <c r="G24" s="17" t="s">
        <v>105</v>
      </c>
    </row>
    <row r="25" spans="1:7">
      <c r="A25" s="17" t="s">
        <v>106</v>
      </c>
      <c r="B25" s="17" t="s">
        <v>4</v>
      </c>
      <c r="C25" s="17" t="s">
        <v>103</v>
      </c>
      <c r="D25" s="17" t="s">
        <v>107</v>
      </c>
      <c r="E25" s="17">
        <v>1</v>
      </c>
      <c r="F25" s="17">
        <v>0.35</v>
      </c>
      <c r="G25" s="17" t="s">
        <v>108</v>
      </c>
    </row>
    <row r="26" spans="1:7">
      <c r="A26" s="17" t="s">
        <v>109</v>
      </c>
      <c r="B26" s="17" t="s">
        <v>5</v>
      </c>
      <c r="C26" s="17" t="s">
        <v>110</v>
      </c>
      <c r="D26" s="17" t="s">
        <v>107</v>
      </c>
      <c r="E26" s="17">
        <v>0.25</v>
      </c>
      <c r="F26" s="17">
        <v>0.2</v>
      </c>
      <c r="G26" s="17" t="s">
        <v>111</v>
      </c>
    </row>
    <row r="27" spans="1:7">
      <c r="A27" s="17" t="s">
        <v>112</v>
      </c>
      <c r="B27" s="17" t="s">
        <v>6</v>
      </c>
      <c r="C27" s="17" t="s">
        <v>113</v>
      </c>
      <c r="D27" s="17" t="s">
        <v>107</v>
      </c>
      <c r="E27" s="17">
        <v>0.2</v>
      </c>
      <c r="F27" s="17">
        <v>0.15</v>
      </c>
      <c r="G27" s="17" t="s">
        <v>114</v>
      </c>
    </row>
    <row r="28" spans="1:7">
      <c r="A28" s="17" t="s">
        <v>115</v>
      </c>
      <c r="B28" s="17" t="s">
        <v>7</v>
      </c>
      <c r="C28" s="17" t="s">
        <v>116</v>
      </c>
      <c r="D28" s="17" t="s">
        <v>107</v>
      </c>
      <c r="E28" s="17">
        <v>0.15</v>
      </c>
      <c r="F28" s="17">
        <v>0.15</v>
      </c>
      <c r="G28" s="17" t="s">
        <v>117</v>
      </c>
    </row>
    <row r="29" spans="1:7">
      <c r="A29" s="17" t="s">
        <v>118</v>
      </c>
      <c r="B29" s="17" t="s">
        <v>8</v>
      </c>
      <c r="C29" s="17" t="s">
        <v>119</v>
      </c>
      <c r="D29" s="17" t="s">
        <v>104</v>
      </c>
      <c r="E29" s="17">
        <v>0.45</v>
      </c>
      <c r="F29" s="17">
        <v>0.45</v>
      </c>
      <c r="G29" s="1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Calculator</vt:lpstr>
      <vt:lpstr>Self-consumption grid</vt:lpstr>
      <vt:lpstr>Locations</vt:lpstr>
      <vt:lpstr>Payback grid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2026-09-15T13:00:19Z</dcterms:created>
  <dcterms:modified xsi:type="dcterms:W3CDTF">2026-09-15T13:00:19Z</dcterms:modified>
</cp:coreProperties>
</file>